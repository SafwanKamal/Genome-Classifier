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57a4ffe5ad44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Contract" sheetId="1" r:id="Rc858ff8fc33e4d2c"/>
    <x:sheet xmlns:r="http://schemas.openxmlformats.org/officeDocument/2006/relationships" name="Protocol" sheetId="2" r:id="R1c441bf5489f495d"/>
    <x:sheet xmlns:r="http://schemas.openxmlformats.org/officeDocument/2006/relationships" name="Sources" sheetId="3" r:id="R619a667e19e14900"/>
    <x:sheet xmlns:r="http://schemas.openxmlformats.org/officeDocument/2006/relationships" name="Encoding Examples" sheetId="4" r:id="Rbc832cb823694f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"/>
    <x:numFmt numFmtId="202" formatCode="0.0000"/>
    <x:numFmt numFmtId="203" formatCode="@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17212B"/>
      <x:name val="Carlito"/>
    </x:font>
    <x:font>
      <x:i/>
      <x:sz val="11"/>
      <x:color rgb="FF17212B"/>
      <x:name val="Carlito"/>
    </x:font>
    <x:font>
      <x:b/>
      <x:sz val="10"/>
      <x:color rgb="FF17212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C9D2DB"/>
      </x:left>
      <x:right style="thin">
        <x:color rgb="FFC9D2DB"/>
      </x:right>
      <x:top style="thin">
        <x:color rgb="FFC9D2DB"/>
      </x:top>
      <x:bottom style="thin">
        <x:color rgb="FFC9D2DB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202" fontId="3" fillId="0" borderId="1" xfId="0" applyNumberFormat="1" applyFont="1" applyFill="1" applyBorder="1" applyAlignment="1">
      <x:alignment vertical="top" wrapText="1"/>
    </x:xf>
    <x:xf numFmtId="203" fontId="3" fillId="0" borderId="1" xfId="0" applyNumberFormat="1" applyFont="1" applyFill="1" applyBorder="1" applyAlignment="1">
      <x:alignment vertical="top" wrapText="1"/>
    </x:xf>
    <x:xf numFmtId="201" fontId="3" fillId="5" borderId="1" xfId="0" applyNumberFormat="1" applyFont="1" applyFill="1" applyBorder="1" applyAlignment="1">
      <x:alignment vertical="top" wrapText="1"/>
    </x:xf>
    <x:xf numFmtId="203" fontId="3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2228cf80ee4817" /><Relationship Type="http://schemas.openxmlformats.org/officeDocument/2006/relationships/theme" Target="/xl/theme/theme1.xml" Id="R4404aabb27034a8d" /><Relationship Type="http://schemas.openxmlformats.org/officeDocument/2006/relationships/sharedStrings" Target="/xl/sharedStrings.xml" Id="Rb3b3659ad94244fe" /><Relationship Type="http://schemas.openxmlformats.org/officeDocument/2006/relationships/worksheet" Target="/xl/worksheets/sheet1.xml" Id="Rc858ff8fc33e4d2c" /><Relationship Type="http://schemas.openxmlformats.org/officeDocument/2006/relationships/worksheet" Target="/xl/worksheets/sheet2.xml" Id="R1c441bf5489f495d" /><Relationship Type="http://schemas.openxmlformats.org/officeDocument/2006/relationships/worksheet" Target="/xl/worksheets/sheet3.xml" Id="R619a667e19e14900" /><Relationship Type="http://schemas.openxmlformats.org/officeDocument/2006/relationships/worksheet" Target="/xl/worksheets/sheet4.xml" Id="Rbc832cb823694f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28" hidden="0" customWidth="1"/>
    <x:col min="4" max="4" width="20" hidden="0" customWidth="1"/>
    <x:col min="5" max="5" width="31" hidden="0" customWidth="1"/>
    <x:col min="6" max="6" width="24" hidden="0" customWidth="1"/>
    <x:col min="7" max="7" width="31" hidden="0" customWidth="1"/>
    <x:col min="8" max="8" width="36" hidden="0" customWidth="1"/>
    <x:col min="9" max="9" width="39" hidden="0" customWidth="1"/>
    <x:col min="10" max="10" width="35" hidden="0" customWidth="1"/>
    <x:col min="11" max="11" width="15" hidden="0" customWidth="1"/>
    <x:col min="12" max="12" width="25" hidden="0" customWidth="1"/>
    <x:col min="13" max="13" width="43" hidden="0" customWidth="1"/>
    <x:col min="14" max="14" width="52" hidden="0" customWidth="1"/>
  </x:cols>
  <x:sheetData>
    <x:row r="1" ht="28" customHeight="1">
      <x:c r="A1" s="3" t="str">
        <x:v>Genomic Variant FPGA — 16-Feature Input Contract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2" customHeight="1">
      <x:c r="A2" s="15" t="str">
        <x:v>Scope: GRCh38 single-nucleotide missense variants | Input order is normative | Version 1.0 | 2026-08-26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</x:row>
    <x:row r="3" ht="46" customHeight="1">
      <x:c r="A3" s="8" t="str">
        <x:v>FPGA index</x:v>
      </x:c>
      <x:c r="B3" s="8" t="str">
        <x:v>Feature ID</x:v>
      </x:c>
      <x:c r="C3" s="8" t="str">
        <x:v>Feature name</x:v>
      </x:c>
      <x:c r="D3" s="8" t="str">
        <x:v>Evidence class</x:v>
      </x:c>
      <x:c r="E3" s="8" t="str">
        <x:v>Primary source / field</x:v>
      </x:c>
      <x:c r="F3" s="8" t="str">
        <x:v>Raw datatype and range</x:v>
      </x:c>
      <x:c r="G3" s="8" t="str">
        <x:v>Transcript / aggregation rule</x:v>
      </x:c>
      <x:c r="H3" s="8" t="str">
        <x:v>Missing-value handling</x:v>
      </x:c>
      <x:c r="I3" s="8" t="str">
        <x:v>Normalization to x in [0,1]</x:v>
      </x:c>
      <x:c r="J3" s="8" t="str">
        <x:v>INT8 encoding</x:v>
      </x:c>
      <x:c r="K3" s="8" t="str">
        <x:v>Encoded range</x:v>
      </x:c>
      <x:c r="L3" s="8" t="str">
        <x:v>Direction of meaning</x:v>
      </x:c>
      <x:c r="M3" s="8" t="str">
        <x:v>Circularity / implementation note</x:v>
      </x:c>
      <x:c r="N3" s="8" t="str">
        <x:v>Primary source URL</x:v>
      </x:c>
    </x:row>
    <x:row r="4" ht="98" customHeight="1">
      <x:c r="A4" s="18" t="n">
        <x:v>0</x:v>
      </x:c>
      <x:c r="B4" s="12" t="str">
        <x:v>gnomad_popmax_rarity</x:v>
      </x:c>
      <x:c r="C4" s="12" t="str">
        <x:v>gnomAD popmax allele-frequency rarity</x:v>
      </x:c>
      <x:c r="D4" s="19" t="str">
        <x:v>Population</x:v>
      </x:c>
      <x:c r="E4" s="12" t="str">
        <x:v>gnomAD v4.1.1; grpmax/popmax AF (PASS variants)</x:v>
      </x:c>
      <x:c r="F4" s="12" t="str">
        <x:v>float; AF in [0,1]</x:v>
      </x:c>
      <x:c r="G4" s="12" t="str">
        <x:v>Variant-level; GRCh38 normalized allele; take maximum ancestry-specific AF</x:v>
      </x:c>
      <x:c r="H4" s="12" t="str">
        <x:v>If confidently absent and adequately covered: AF=0. If site not callable/lookup fails: missing, then training-median imputation after transform.</x:v>
      </x:c>
      <x:c r="I4" s="12" t="str">
        <x:v>x = clip(-log10(max(AF, 1e-6))/6, 0, 1)</x:v>
      </x:c>
      <x:c r="J4" s="12" t="str">
        <x:v>q = clip(round(254*x - 127), -127, 127)</x:v>
      </x:c>
      <x:c r="K4" s="12" t="str">
        <x:v>-127..127</x:v>
      </x:c>
      <x:c r="L4" s="12" t="str">
        <x:v>Higher = rarer = more suspicious</x:v>
      </x:c>
      <x:c r="M4" s="20" t="str">
        <x:v>Do not treat failed lookup as population absence. Freeze gnomAD release.</x:v>
      </x:c>
      <x:c r="N4" s="12" t="str">
        <x:v>https://gnomad.broadinstitute.org/news/2024-04-gnomad-v4-1/</x:v>
      </x:c>
    </x:row>
    <x:row r="5" ht="98" customHeight="1">
      <x:c r="A5" s="18" t="n">
        <x:v>1</x:v>
      </x:c>
      <x:c r="B5" s="12" t="str">
        <x:v>cadd_phred</x:v>
      </x:c>
      <x:c r="C5" s="12" t="str">
        <x:v>CADD PHRED-scaled deleteriousness</x:v>
      </x:c>
      <x:c r="D5" s="19" t="str">
        <x:v>Ensemble predictor</x:v>
      </x:c>
      <x:c r="E5" s="12" t="str">
        <x:v>CADD v1.7 PHRED</x:v>
      </x:c>
      <x:c r="F5" s="12" t="str">
        <x:v>float; &gt;=0; commonly interpreted at 10/20/30</x:v>
      </x:c>
      <x:c r="G5" s="12" t="str">
        <x:v>Variant-level score for the same GRCh38 allele</x:v>
      </x:c>
      <x:c r="H5" s="12" t="str">
        <x:v>Missing -&gt; training-median imputation after transform; also emit a missingness audit flag outside the 16 FPGA inputs.</x:v>
      </x:c>
      <x:c r="I5" s="12" t="str">
        <x:v>x = clip(PHRED/50, 0, 1)</x:v>
      </x:c>
      <x:c r="J5" s="12" t="str">
        <x:v>q = clip(round(254*x - 127), -127, 127)</x:v>
      </x:c>
      <x:c r="K5" s="12" t="str">
        <x:v>-127..127</x:v>
      </x:c>
      <x:c r="L5" s="12" t="str">
        <x:v>Higher = more deleterious</x:v>
      </x:c>
      <x:c r="M5" s="20" t="str">
        <x:v>Engineering cap 50 must be frozen. CADD overlaps other annotations; run ablation tests.</x:v>
      </x:c>
      <x:c r="N5" s="12" t="str">
        <x:v>https://cadd.bihealth.org/info</x:v>
      </x:c>
    </x:row>
    <x:row r="6" ht="98" customHeight="1">
      <x:c r="A6" s="18" t="n">
        <x:v>2</x:v>
      </x:c>
      <x:c r="B6" s="12" t="str">
        <x:v>revel_score</x:v>
      </x:c>
      <x:c r="C6" s="12" t="str">
        <x:v>REVEL missense pathogenicity score</x:v>
      </x:c>
      <x:c r="D6" s="19" t="str">
        <x:v>Ensemble predictor</x:v>
      </x:c>
      <x:c r="E6" s="12" t="str">
        <x:v>REVEL score</x:v>
      </x:c>
      <x:c r="F6" s="12" t="str">
        <x:v>float; [0,1]</x:v>
      </x:c>
      <x:c r="G6" s="12" t="str">
        <x:v>Use MANE Select transcript annotation; otherwise documented canonical fallback</x:v>
      </x:c>
      <x:c r="H6" s="12" t="str">
        <x:v>Missing -&gt; training-median imputation.</x:v>
      </x:c>
      <x:c r="I6" s="12" t="str">
        <x:v>x = clip(score, 0, 1)</x:v>
      </x:c>
      <x:c r="J6" s="12" t="str">
        <x:v>q = clip(round(254*x - 127), -127, 127)</x:v>
      </x:c>
      <x:c r="K6" s="12" t="str">
        <x:v>-127..127</x:v>
      </x:c>
      <x:c r="L6" s="12" t="str">
        <x:v>Higher = more likely disease-causing</x:v>
      </x:c>
      <x:c r="M6" s="20" t="str">
        <x:v>REVEL was trained using disease/control variants; guard against training-label overlap and report predictor ablations.</x:v>
      </x:c>
      <x:c r="N6" s="12" t="str">
        <x:v>https://sites.google.com/site/revelgenomics/</x:v>
      </x:c>
    </x:row>
    <x:row r="7" ht="98" customHeight="1">
      <x:c r="A7" s="18" t="n">
        <x:v>3</x:v>
      </x:c>
      <x:c r="B7" s="12" t="str">
        <x:v>alphamissense_score</x:v>
      </x:c>
      <x:c r="C7" s="12" t="str">
        <x:v>AlphaMissense pathogenicity score</x:v>
      </x:c>
      <x:c r="D7" s="19" t="str">
        <x:v>Protein ML predictor</x:v>
      </x:c>
      <x:c r="E7" s="12" t="str">
        <x:v>AlphaMissense pathogenicity</x:v>
      </x:c>
      <x:c r="F7" s="12" t="str">
        <x:v>float; [0,1]</x:v>
      </x:c>
      <x:c r="G7" s="12" t="str">
        <x:v>Use the amino-acid substitution on MANE Select transcript</x:v>
      </x:c>
      <x:c r="H7" s="12" t="str">
        <x:v>Missing -&gt; training-median imputation.</x:v>
      </x:c>
      <x:c r="I7" s="12" t="str">
        <x:v>x = clip(score, 0, 1)</x:v>
      </x:c>
      <x:c r="J7" s="12" t="str">
        <x:v>q = clip(round(254*x - 127), -127, 127)</x:v>
      </x:c>
      <x:c r="K7" s="12" t="str">
        <x:v>-127..127</x:v>
      </x:c>
      <x:c r="L7" s="12" t="str">
        <x:v>Higher = more likely pathogenic</x:v>
      </x:c>
      <x:c r="M7" s="20" t="str">
        <x:v>Calibrated using ClinVar; temporal/gene-held-out evaluation is required. Observe source licensing.</x:v>
      </x:c>
      <x:c r="N7" s="12" t="str">
        <x:v>https://www.science.org/doi/10.1126/science.adg7492</x:v>
      </x:c>
    </x:row>
    <x:row r="8" ht="98" customHeight="1">
      <x:c r="A8" s="18" t="n">
        <x:v>4</x:v>
      </x:c>
      <x:c r="B8" s="12" t="str">
        <x:v>spliceai_max_ds</x:v>
      </x:c>
      <x:c r="C8" s="12" t="str">
        <x:v>SpliceAI maximum delta score</x:v>
      </x:c>
      <x:c r="D8" s="19" t="str">
        <x:v>Splicing predictor</x:v>
      </x:c>
      <x:c r="E8" s="12" t="str">
        <x:v>max(DS_AG, DS_AL, DS_DG, DS_DL)</x:v>
      </x:c>
      <x:c r="F8" s="12" t="str">
        <x:v>float; [0,1]</x:v>
      </x:c>
      <x:c r="G8" s="12" t="str">
        <x:v>Variant-level maximum across acceptor gain/loss and donor gain/loss; masked scores for interpretation</x:v>
      </x:c>
      <x:c r="H8" s="12" t="str">
        <x:v>Missing -&gt; training-median imputation.</x:v>
      </x:c>
      <x:c r="I8" s="12" t="str">
        <x:v>x = clip(max_delta, 0, 1)</x:v>
      </x:c>
      <x:c r="J8" s="12" t="str">
        <x:v>q = clip(round(254*x - 127), -127, 127)</x:v>
      </x:c>
      <x:c r="K8" s="12" t="str">
        <x:v>-127..127</x:v>
      </x:c>
      <x:c r="L8" s="12" t="str">
        <x:v>Higher = greater splice-altering probability</x:v>
      </x:c>
      <x:c r="M8" s="20" t="str">
        <x:v>Useful even for missense variants near splice junctions. Freeze masked/raw policy.</x:v>
      </x:c>
      <x:c r="N8" s="12" t="str">
        <x:v>https://github.com/Illumina/SpliceAI</x:v>
      </x:c>
    </x:row>
    <x:row r="9" ht="98" customHeight="1">
      <x:c r="A9" s="18" t="n">
        <x:v>5</x:v>
      </x:c>
      <x:c r="B9" s="12" t="str">
        <x:v>sift_deleterious</x:v>
      </x:c>
      <x:c r="C9" s="12" t="str">
        <x:v>SIFT deleteriousness (reversed)</x:v>
      </x:c>
      <x:c r="D9" s="19" t="str">
        <x:v>Protein predictor</x:v>
      </x:c>
      <x:c r="E9" s="12" t="str">
        <x:v>Ensembl VEP SIFT score</x:v>
      </x:c>
      <x:c r="F9" s="12" t="str">
        <x:v>float; [0,1]</x:v>
      </x:c>
      <x:c r="G9" s="12" t="str">
        <x:v>MANE Select transcript; use transcript-matched score</x:v>
      </x:c>
      <x:c r="H9" s="12" t="str">
        <x:v>Missing -&gt; training-median imputation.</x:v>
      </x:c>
      <x:c r="I9" s="12" t="str">
        <x:v>x = 1 - clip(SIFT, 0, 1)</x:v>
      </x:c>
      <x:c r="J9" s="12" t="str">
        <x:v>q = clip(round(254*x - 127), -127, 127)</x:v>
      </x:c>
      <x:c r="K9" s="12" t="str">
        <x:v>-127..127</x:v>
      </x:c>
      <x:c r="L9" s="12" t="str">
        <x:v>Higher = more damaging</x:v>
      </x:c>
      <x:c r="M9" s="20" t="str">
        <x:v>Raw SIFT direction is opposite; this contract reverses it.</x:v>
      </x:c>
      <x:c r="N9" s="12" t="str">
        <x:v>https://www.ensembl.org/info/genome/variation/prediction/protein_function.html</x:v>
      </x:c>
    </x:row>
    <x:row r="10" ht="98" customHeight="1">
      <x:c r="A10" s="18" t="n">
        <x:v>6</x:v>
      </x:c>
      <x:c r="B10" s="12" t="str">
        <x:v>polyphen2_hvar</x:v>
      </x:c>
      <x:c r="C10" s="12" t="str">
        <x:v>PolyPhen-2 damaging probability</x:v>
      </x:c>
      <x:c r="D10" s="19" t="str">
        <x:v>Protein predictor</x:v>
      </x:c>
      <x:c r="E10" s="12" t="str">
        <x:v>dbNSFP Polyphen2_HVAR_score or VEP PolyPhen</x:v>
      </x:c>
      <x:c r="F10" s="12" t="str">
        <x:v>float; [0,1]</x:v>
      </x:c>
      <x:c r="G10" s="12" t="str">
        <x:v>MANE Select transcript; do not mix HDIV and HVAR within a dataset</x:v>
      </x:c>
      <x:c r="H10" s="12" t="str">
        <x:v>Missing -&gt; training-median imputation.</x:v>
      </x:c>
      <x:c r="I10" s="12" t="str">
        <x:v>x = clip(score, 0, 1)</x:v>
      </x:c>
      <x:c r="J10" s="12" t="str">
        <x:v>q = clip(round(254*x - 127), -127, 127)</x:v>
      </x:c>
      <x:c r="K10" s="12" t="str">
        <x:v>-127..127</x:v>
      </x:c>
      <x:c r="L10" s="12" t="str">
        <x:v>Higher = more damaging</x:v>
      </x:c>
      <x:c r="M10" s="20" t="str">
        <x:v>MPC already includes PolyPhen-derived information; measure redundancy.</x:v>
      </x:c>
      <x:c r="N10" s="12" t="str">
        <x:v>https://www.ensembl.org/info/genome/variation/prediction/protein_function.html</x:v>
      </x:c>
    </x:row>
    <x:row r="11" ht="98" customHeight="1">
      <x:c r="A11" s="18" t="n">
        <x:v>7</x:v>
      </x:c>
      <x:c r="B11" s="12" t="str">
        <x:v>mpc_score</x:v>
      </x:c>
      <x:c r="C11" s="12" t="str">
        <x:v>MPC missense deleteriousness</x:v>
      </x:c>
      <x:c r="D11" s="19" t="str">
        <x:v>Regional / ensemble predictor</x:v>
      </x:c>
      <x:c r="E11" s="12" t="str">
        <x:v>MPC (Missense badness, PolyPhen-2, Constraint)</x:v>
      </x:c>
      <x:c r="F11" s="12" t="str">
        <x:v>float; observed approximately 0..5</x:v>
      </x:c>
      <x:c r="G11" s="12" t="str">
        <x:v>Variant-level; hg19 source may require exact liftover/allele validation to GRCh38</x:v>
      </x:c>
      <x:c r="H11" s="12" t="str">
        <x:v>Missing -&gt; training-median imputation.</x:v>
      </x:c>
      <x:c r="I11" s="12" t="str">
        <x:v>x = clip(MPC/5, 0, 1)</x:v>
      </x:c>
      <x:c r="J11" s="12" t="str">
        <x:v>q = clip(round(254*x - 127), -127, 127)</x:v>
      </x:c>
      <x:c r="K11" s="12" t="str">
        <x:v>-127..127</x:v>
      </x:c>
      <x:c r="L11" s="12" t="str">
        <x:v>Higher = more deleterious</x:v>
      </x:c>
      <x:c r="M11" s="20" t="str">
        <x:v>Composite feature overlaps PolyPhen and constraint; keep only if ablation adds value.</x:v>
      </x:c>
      <x:c r="N11" s="12" t="str">
        <x:v>https://github.com/broadinstitute/regional_missense_constraint</x:v>
      </x:c>
    </x:row>
    <x:row r="12" ht="98" customHeight="1">
      <x:c r="A12" s="18" t="n">
        <x:v>8</x:v>
      </x:c>
      <x:c r="B12" s="12" t="str">
        <x:v>phylop_100way</x:v>
      </x:c>
      <x:c r="C12" s="12" t="str">
        <x:v>phyloP 100-way conservation</x:v>
      </x:c>
      <x:c r="D12" s="19" t="str">
        <x:v>Conservation</x:v>
      </x:c>
      <x:c r="E12" s="12" t="str">
        <x:v>UCSC hg38 phyloP100way vertebrate base score</x:v>
      </x:c>
      <x:c r="F12" s="12" t="str">
        <x:v>float; signed, empirical range</x:v>
      </x:c>
      <x:c r="G12" s="12" t="str">
        <x:v>Variant genomic position; if multi-base, maximum reference-position conservation</x:v>
      </x:c>
      <x:c r="H12" s="12" t="str">
        <x:v>Missing -&gt; training-median imputation.</x:v>
      </x:c>
      <x:c r="I12" s="12" t="str">
        <x:v>x = clip((v - P01)/(P99 - P01), 0, 1); P01/P99 fit on training split</x:v>
      </x:c>
      <x:c r="J12" s="12" t="str">
        <x:v>-127..127 via standard formula</x:v>
      </x:c>
      <x:c r="K12" s="12" t="str">
        <x:v>Higher = more conserved / constrained</x:v>
      </x:c>
      <x:c r="L12" s="12" t="str">
        <x:v>Freeze UCSC track and training-derived P01/P99.</x:v>
      </x:c>
      <x:c r="M12" s="20" t="str">
        <x:v>https://genome.ucsc.edu/cgi-bin/hgTrackUi?db=hg38&amp;g=cons100way</x:v>
      </x:c>
      <x:c r="N12" s="12"/>
    </x:row>
    <x:row r="13" ht="98" customHeight="1">
      <x:c r="A13" s="18" t="n">
        <x:v>9</x:v>
      </x:c>
      <x:c r="B13" s="12" t="str">
        <x:v>phastcons_100way</x:v>
      </x:c>
      <x:c r="C13" s="12" t="str">
        <x:v>phastCons 100-way conservation</x:v>
      </x:c>
      <x:c r="D13" s="19" t="str">
        <x:v>Conservation</x:v>
      </x:c>
      <x:c r="E13" s="12" t="str">
        <x:v>UCSC hg38 phastCons100way vertebrate base score</x:v>
      </x:c>
      <x:c r="F13" s="12" t="str">
        <x:v>float; [0,1]</x:v>
      </x:c>
      <x:c r="G13" s="12" t="str">
        <x:v>Variant genomic position; if multi-base, maximum reference-position conservation</x:v>
      </x:c>
      <x:c r="H13" s="12" t="str">
        <x:v>Missing -&gt; training-median imputation.</x:v>
      </x:c>
      <x:c r="I13" s="12" t="str">
        <x:v>x = clip(score, 0, 1)</x:v>
      </x:c>
      <x:c r="J13" s="12" t="str">
        <x:v>q = clip(round(254*x - 127), -127, 127)</x:v>
      </x:c>
      <x:c r="K13" s="12" t="str">
        <x:v>-127..127</x:v>
      </x:c>
      <x:c r="L13" s="12" t="str">
        <x:v>Higher = higher probability of conserved element</x:v>
      </x:c>
      <x:c r="M13" s="20" t="str">
        <x:v>Correlated with phyloP but measures regional conservation differently.</x:v>
      </x:c>
      <x:c r="N13" s="12" t="str">
        <x:v>https://genome.ucsc.edu/cgi-bin/hgTrackUi?db=hg38&amp;g=cons100way</x:v>
      </x:c>
    </x:row>
    <x:row r="14" ht="98" customHeight="1">
      <x:c r="A14" s="18" t="n">
        <x:v>10</x:v>
      </x:c>
      <x:c r="B14" s="12" t="str">
        <x:v>gerp_rs</x:v>
      </x:c>
      <x:c r="C14" s="12" t="str">
        <x:v>GERP++ rejected-substitution score</x:v>
      </x:c>
      <x:c r="D14" s="19" t="str">
        <x:v>Conservation</x:v>
      </x:c>
      <x:c r="E14" s="12" t="str">
        <x:v>GERP++ RS</x:v>
      </x:c>
      <x:c r="F14" s="12" t="str">
        <x:v>float; signed, empirical range</x:v>
      </x:c>
      <x:c r="G14" s="12" t="str">
        <x:v>Variant genomic position; use same assembly-aligned track for all samples</x:v>
      </x:c>
      <x:c r="H14" s="12" t="str">
        <x:v>Missing -&gt; training-median imputation.</x:v>
      </x:c>
      <x:c r="I14" s="12" t="str">
        <x:v>x = clip((v - P01)/(P99 - P01), 0, 1); P01/P99 fit on training split</x:v>
      </x:c>
      <x:c r="J14" s="12" t="str">
        <x:v>-127..127 via standard formula</x:v>
      </x:c>
      <x:c r="K14" s="12" t="str">
        <x:v>Higher = stronger evolutionary constraint</x:v>
      </x:c>
      <x:c r="L14" s="12" t="str">
        <x:v>Freeze source version and training-derived P01/P99.</x:v>
      </x:c>
      <x:c r="M14" s="20" t="str">
        <x:v>https://genome.ucsc.edu/cgi-bin/hgTrackUi?db=hg19&amp;g=allHg19RS_BW</x:v>
      </x:c>
      <x:c r="N14" s="12"/>
    </x:row>
    <x:row r="15" ht="98" customHeight="1">
      <x:c r="A15" s="18" t="n">
        <x:v>11</x:v>
      </x:c>
      <x:c r="B15" s="12" t="str">
        <x:v>grantham_distance</x:v>
      </x:c>
      <x:c r="C15" s="12" t="str">
        <x:v>Grantham amino-acid distance</x:v>
      </x:c>
      <x:c r="D15" s="19" t="str">
        <x:v>Substitution severity</x:v>
      </x:c>
      <x:c r="E15" s="12" t="str">
        <x:v>Reference/alternate amino-acid pair</x:v>
      </x:c>
      <x:c r="F15" s="12" t="str">
        <x:v>integer; 5..215 for non-identical substitutions</x:v>
      </x:c>
      <x:c r="G15" s="12" t="str">
        <x:v>Compute from MANE Select reference and alternate amino acids</x:v>
      </x:c>
      <x:c r="H15" s="12" t="str">
        <x:v>If amino-acid change cannot be resolved: missing -&gt; training median; not applicable variants are excluded by the missense-only cohort rule.</x:v>
      </x:c>
      <x:c r="I15" s="12" t="str">
        <x:v>x = clip(distance/215, 0, 1)</x:v>
      </x:c>
      <x:c r="J15" s="12" t="str">
        <x:v>q = clip(round(254*x - 127), -127, 127)</x:v>
      </x:c>
      <x:c r="K15" s="12" t="str">
        <x:v>-127..127</x:v>
      </x:c>
      <x:c r="L15" s="12" t="str">
        <x:v>Higher = more radical substitution</x:v>
      </x:c>
      <x:c r="M15" s="20" t="str">
        <x:v>Purely sequence-derived; no label leakage.</x:v>
      </x:c>
      <x:c r="N15" s="12" t="str">
        <x:v>https://ionreporter.thermofisher.com/ionreporter/help/GUID-D9DFB21C-652D-4F95-8132-A0C442F65399.html</x:v>
      </x:c>
    </x:row>
    <x:row r="16" ht="98" customHeight="1">
      <x:c r="A16" s="18" t="n">
        <x:v>12</x:v>
      </x:c>
      <x:c r="B16" s="12" t="str">
        <x:v>blosum62_unfavorability</x:v>
      </x:c>
      <x:c r="C16" s="12" t="str">
        <x:v>BLOSUM62 substitution unfavorability</x:v>
      </x:c>
      <x:c r="D16" s="19" t="str">
        <x:v>Substitution severity</x:v>
      </x:c>
      <x:c r="E16" s="12" t="str">
        <x:v>BLOSUM62 matrix lookup</x:v>
      </x:c>
      <x:c r="F16" s="12" t="str">
        <x:v>integer; -4..11</x:v>
      </x:c>
      <x:c r="G16" s="12" t="str">
        <x:v>Lookup reference-to-alternate amino-acid score on MANE Select transcript</x:v>
      </x:c>
      <x:c r="H16" s="12" t="str">
        <x:v>If amino-acid change cannot be resolved: missing -&gt; training median.</x:v>
      </x:c>
      <x:c r="I16" s="12" t="str">
        <x:v>x = clip((11 - score)/15, 0, 1)</x:v>
      </x:c>
      <x:c r="J16" s="12" t="str">
        <x:v>q = clip(round(254*x - 127), -127, 127)</x:v>
      </x:c>
      <x:c r="K16" s="12" t="str">
        <x:v>-127..127</x:v>
      </x:c>
      <x:c r="L16" s="12" t="str">
        <x:v>Higher = less evolutionarily favored substitution</x:v>
      </x:c>
      <x:c r="M16" s="20" t="str">
        <x:v>Purely sequence-derived. Grantham and BLOSUM are related but not identical.</x:v>
      </x:c>
      <x:c r="N16" s="12" t="str">
        <x:v>https://pmc.ncbi.nlm.nih.gov/articles/PMC50453/</x:v>
      </x:c>
    </x:row>
    <x:row r="17" ht="98" customHeight="1">
      <x:c r="A17" s="18" t="n">
        <x:v>13</x:v>
      </x:c>
      <x:c r="B17" s="12" t="str">
        <x:v>gnomad_mis_z</x:v>
      </x:c>
      <x:c r="C17" s="12" t="str">
        <x:v>gnomAD gene missense constraint Z</x:v>
      </x:c>
      <x:c r="D17" s="19" t="str">
        <x:v>Gene constraint</x:v>
      </x:c>
      <x:c r="E17" s="12" t="str">
        <x:v>gnomAD v4 gene constraint mis_z</x:v>
      </x:c>
      <x:c r="F17" s="12" t="str">
        <x:v>float; signed, empirical range</x:v>
      </x:c>
      <x:c r="G17" s="12" t="str">
        <x:v>Map MANE Select gene/transcript; use one frozen gnomAD release</x:v>
      </x:c>
      <x:c r="H17" s="12" t="str">
        <x:v>Missing gene metric -&gt; training-median imputation; record sex-chromosome/version gaps in audit output.</x:v>
      </x:c>
      <x:c r="I17" s="12" t="str">
        <x:v>x = clip((v - P01)/(P99 - P01), 0, 1); P01/P99 fit on training split</x:v>
      </x:c>
      <x:c r="J17" s="12" t="str">
        <x:v>-127..127 via standard formula</x:v>
      </x:c>
      <x:c r="K17" s="12" t="str">
        <x:v>Higher = fewer missense variants than expected</x:v>
      </x:c>
      <x:c r="L17" s="12" t="str">
        <x:v>Z is sample-size-sensitive across releases; never mix releases.</x:v>
      </x:c>
      <x:c r="M17" s="20" t="str">
        <x:v>https://gnomad.broadinstitute.org/news/2024-03-gnomad-v4-0-gene-constraint/</x:v>
      </x:c>
      <x:c r="N17" s="12"/>
    </x:row>
    <x:row r="18" ht="98" customHeight="1">
      <x:c r="A18" s="18" t="n">
        <x:v>14</x:v>
      </x:c>
      <x:c r="B18" s="12" t="str">
        <x:v>gnomad_loeuf_intolerance</x:v>
      </x:c>
      <x:c r="C18" s="12" t="str">
        <x:v>gnomAD LOEUF intolerance (reversed)</x:v>
      </x:c>
      <x:c r="D18" s="19" t="str">
        <x:v>Gene constraint</x:v>
      </x:c>
      <x:c r="E18" s="12" t="str">
        <x:v>gnomAD v4 LOEUF</x:v>
      </x:c>
      <x:c r="F18" s="12" t="str">
        <x:v>float; &gt;=0, empirical range</x:v>
      </x:c>
      <x:c r="G18" s="12" t="str">
        <x:v>Map MANE Select gene/transcript; use continuous LOEUF</x:v>
      </x:c>
      <x:c r="H18" s="12" t="str">
        <x:v>Missing gene metric -&gt; training-median imputation; record sex-chromosome/version gaps.</x:v>
      </x:c>
      <x:c r="I18" s="12" t="str">
        <x:v>x = 1 - clip((v - P01)/(P99 - P01), 0, 1); P01/P99 fit on training split</x:v>
      </x:c>
      <x:c r="J18" s="12" t="str">
        <x:v>-127..127 via standard formula</x:v>
      </x:c>
      <x:c r="K18" s="12" t="str">
        <x:v>Higher = less tolerant of loss-of-function variation</x:v>
      </x:c>
      <x:c r="L18" s="12" t="str">
        <x:v>LOEUF is LoF constraint, not missense-specific; treat as gene context.</x:v>
      </x:c>
      <x:c r="M18" s="20" t="str">
        <x:v>https://gnomad.broadinstitute.org/news/2024-03-gnomad-v4-0-gene-constraint/</x:v>
      </x:c>
      <x:c r="N18" s="12"/>
    </x:row>
    <x:row r="19" ht="98" customHeight="1">
      <x:c r="A19" s="18" t="n">
        <x:v>15</x:v>
      </x:c>
      <x:c r="B19" s="12" t="str">
        <x:v>interpro_domain_hit</x:v>
      </x:c>
      <x:c r="C19" s="12" t="str">
        <x:v>Protein-domain overlap indicator</x:v>
      </x:c>
      <x:c r="D19" s="19" t="str">
        <x:v>Protein context</x:v>
      </x:c>
      <x:c r="E19" s="12" t="str">
        <x:v>InterPro/Pfam domain coordinates</x:v>
      </x:c>
      <x:c r="F19" s="12" t="str">
        <x:v>boolean; 0 or 1</x:v>
      </x:c>
      <x:c r="G19" s="12" t="str">
        <x:v>1 when altered residue lies within an InterPro/Pfam domain on MANE Select protein; else 0</x:v>
      </x:c>
      <x:c r="H19" s="12" t="str">
        <x:v>Unknown mapping -&gt; neutral x=0.5 (q=0) and audit flag; verified no overlap -&gt; 0.</x:v>
      </x:c>
      <x:c r="I19" s="12" t="str">
        <x:v>x = 1 for overlap; 0 for verified no overlap; 0.5 if unknown</x:v>
      </x:c>
      <x:c r="J19" s="12" t="str">
        <x:v>q = 127, -127, or 0 respectively</x:v>
      </x:c>
      <x:c r="K19" s="12" t="str">
        <x:v>-127, 0, 127</x:v>
      </x:c>
      <x:c r="L19" s="12" t="str">
        <x:v>Higher = variant lies in annotated domain</x:v>
      </x:c>
      <x:c r="M19" s="20" t="str">
        <x:v>Binary context, not evidence of pathogenicity by itself; version InterPro release.</x:v>
      </x:c>
      <x:c r="N19" s="12" t="str">
        <x:v>https://www.ebi.ac.uk/interpro/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8" hidden="0" customWidth="1"/>
    <x:col min="3" max="3" width="74" hidden="0" customWidth="1"/>
  </x:cols>
  <x:sheetData>
    <x:row r="1" ht="28" customHeight="1">
      <x:c r="A1" s="3" t="str">
        <x:v>Dataset, Label, and Quantization Protocol</x:v>
      </x:c>
      <x:c r="B1" s="3"/>
      <x:c r="C1" s="3"/>
    </x:row>
    <x:row r="2" ht="32" customHeight="1">
      <x:c r="A2" s="8" t="str">
        <x:v>Decision</x:v>
      </x:c>
      <x:c r="B2" s="8" t="str">
        <x:v>Contract</x:v>
      </x:c>
      <x:c r="C2" s="8" t="str">
        <x:v>Reason / guardrail</x:v>
      </x:c>
    </x:row>
    <x:row r="3" ht="58" customHeight="1">
      <x:c r="A3" s="17" t="str">
        <x:v>Contract version</x:v>
      </x:c>
      <x:c r="B3" s="12" t="str">
        <x:v>1.0 (2026-08-26)</x:v>
      </x:c>
      <x:c r="C3" s="12" t="str">
        <x:v>Increment when feature order, transform, source release, or missing rule changes.</x:v>
      </x:c>
    </x:row>
    <x:row r="4" ht="58" customHeight="1">
      <x:c r="A4" s="17" t="str">
        <x:v>Intended use</x:v>
      </x:c>
      <x:c r="B4" s="12" t="str">
        <x:v>Research triage / FPGA inference prototype</x:v>
      </x:c>
      <x:c r="C4" s="12" t="str">
        <x:v>Not a clinical diagnostic system.</x:v>
      </x:c>
    </x:row>
    <x:row r="5" ht="58" customHeight="1">
      <x:c r="A5" s="17" t="str">
        <x:v>Cohort scope</x:v>
      </x:c>
      <x:c r="B5" s="12" t="str">
        <x:v>GRCh38 biallelic single-nucleotide missense variants</x:v>
      </x:c>
      <x:c r="C5" s="12" t="str">
        <x:v>Exclude synonymous, stop-gain, indels, structural variants, and unresolved transcript consequences in v1.</x:v>
      </x:c>
    </x:row>
    <x:row r="6" ht="58" customHeight="1">
      <x:c r="A6" s="17" t="str">
        <x:v>Transcript policy</x:v>
      </x:c>
      <x:c r="B6" s="12" t="str">
        <x:v>MANE Select first</x:v>
      </x:c>
      <x:c r="C6" s="12" t="str">
        <x:v>If unavailable: predeclared Ensembl canonical/APPRIS fallback; record fallback. Never choose transcript using the label.</x:v>
      </x:c>
    </x:row>
    <x:row r="7" ht="58" customHeight="1">
      <x:c r="A7" s="17" t="str">
        <x:v>Label source</x:v>
      </x:c>
      <x:c r="B7" s="12" t="str">
        <x:v>ClinVar GRCh38 VCV aggregate classification</x:v>
      </x:c>
      <x:c r="C7" s="12" t="str">
        <x:v>Snapshot the exact monthly ClinVar release.</x:v>
      </x:c>
    </x:row>
    <x:row r="8" ht="58" customHeight="1">
      <x:c r="A8" s="17" t="str">
        <x:v>Positive label</x:v>
      </x:c>
      <x:c r="B8" s="12" t="str">
        <x:v>Pathogenic or Likely pathogenic</x:v>
      </x:c>
      <x:c r="C8" s="12" t="str">
        <x:v>Collapse P and LP into class 1.</x:v>
      </x:c>
    </x:row>
    <x:row r="9" ht="58" customHeight="1">
      <x:c r="A9" s="17" t="str">
        <x:v>Negative label</x:v>
      </x:c>
      <x:c r="B9" s="12" t="str">
        <x:v>Benign or Likely benign</x:v>
      </x:c>
      <x:c r="C9" s="12" t="str">
        <x:v>Collapse B and LB into class 0.</x:v>
      </x:c>
    </x:row>
    <x:row r="10" ht="58" customHeight="1">
      <x:c r="A10" s="17" t="str">
        <x:v>Excluded labels</x:v>
      </x:c>
      <x:c r="B10" s="12" t="str">
        <x:v>VUS, conflicting interpretations, drug response, risk factor, association, protective, and other/non-binary terms</x:v>
      </x:c>
      <x:c r="C10" s="12" t="str">
        <x:v>Do not force uncertain records into either class.</x:v>
      </x:c>
    </x:row>
    <x:row r="11" ht="58" customHeight="1">
      <x:c r="A11" s="17" t="str">
        <x:v>Review-status use</x:v>
      </x:c>
      <x:c r="B11" s="12" t="str">
        <x:v>Sample-quality filter only; recommend &gt;=1 star for initial dataset</x:v>
      </x:c>
      <x:c r="C11" s="12" t="str">
        <x:v>Review stars are never an input feature; including them would leak label quality.</x:v>
      </x:c>
    </x:row>
    <x:row r="12" ht="58" customHeight="1">
      <x:c r="A12" s="17" t="str">
        <x:v>Deduplication</x:v>
      </x:c>
      <x:c r="B12" s="12" t="str">
        <x:v>One normalized GRCh38 allele per row</x:v>
      </x:c>
      <x:c r="C12" s="12" t="str">
        <x:v>Resolve duplicate VCV/condition records before splitting.</x:v>
      </x:c>
    </x:row>
    <x:row r="13" ht="58" customHeight="1">
      <x:c r="A13" s="17" t="str">
        <x:v>Split policy</x:v>
      </x:c>
      <x:c r="B13" s="12" t="str">
        <x:v>Group by gene; train/validation/test genes must not overlap</x:v>
      </x:c>
      <x:c r="C13" s="12" t="str">
        <x:v>Also create a later ClinVar temporal holdout to test predictor circularity and drift.</x:v>
      </x:c>
    </x:row>
    <x:row r="14" ht="58" customHeight="1">
      <x:c r="A14" s="17" t="str">
        <x:v>Imputation fit</x:v>
      </x:c>
      <x:c r="B14" s="12" t="str">
        <x:v>Fit medians on training split only</x:v>
      </x:c>
      <x:c r="C14" s="12" t="str">
        <x:v>Apply frozen medians to validation, test, Python inference, and FPGA packet generation.</x:v>
      </x:c>
    </x:row>
    <x:row r="15" ht="58" customHeight="1">
      <x:c r="A15" s="17" t="str">
        <x:v>Empirical scaling fit</x:v>
      </x:c>
      <x:c r="B15" s="12" t="str">
        <x:v>Fit P01 and P99 on training split only</x:v>
      </x:c>
      <x:c r="C15" s="12" t="str">
        <x:v>Freeze per-feature bounds in a versioned preprocessing manifest.</x:v>
      </x:c>
    </x:row>
    <x:row r="16" ht="58" customHeight="1">
      <x:c r="A16" s="17" t="str">
        <x:v>Direction convention</x:v>
      </x:c>
      <x:c r="B16" s="12" t="str">
        <x:v>Every normalized x uses higher = more pathogenic/suspicious</x:v>
      </x:c>
      <x:c r="C16" s="12" t="str">
        <x:v>Prevents silent sign inversions in training and hardware.</x:v>
      </x:c>
    </x:row>
    <x:row r="17" ht="58" customHeight="1">
      <x:c r="A17" s="17" t="str">
        <x:v>INT8 convention</x:v>
      </x:c>
      <x:c r="B17" s="12" t="str">
        <x:v>q = clip(round(254*x - 127), -127, 127)</x:v>
      </x:c>
      <x:c r="C17" s="12" t="str">
        <x:v>Uses symmetric usable endpoints without -128; decode approximately as x=(q+127)/254.</x:v>
      </x:c>
    </x:row>
    <x:row r="18" ht="58" customHeight="1">
      <x:c r="A18" s="17" t="str">
        <x:v>Packet order</x:v>
      </x:c>
      <x:c r="B18" s="12" t="str">
        <x:v>Features are transmitted in FPGA index order 0 through 15</x:v>
      </x:c>
      <x:c r="C18" s="12" t="str">
        <x:v>Exactly 16 signed two's-complement bytes.</x:v>
      </x:c>
    </x:row>
    <x:row r="19" ht="58" customHeight="1">
      <x:c r="A19" s="17" t="str">
        <x:v>Reproducibility artifacts</x:v>
      </x:c>
      <x:c r="B19" s="12" t="str">
        <x:v>Release manifest, preprocessing bounds/medians, feature matrix, labels, split IDs, trained weights/biases, .mem files</x:v>
      </x:c>
      <x:c r="C19" s="12" t="str">
        <x:v>Hash every source and generated artifact.</x:v>
      </x:c>
    </x:row>
    <x:row r="20" ht="58" customHeight="1">
      <x:c r="A20" s="17" t="str">
        <x:v>Required ablations</x:v>
      </x:c>
      <x:c r="B20" s="12" t="str">
        <x:v>All features; no prior predictors; no population AF; no gene constraint; sequence/conservation only</x:v>
      </x:c>
      <x:c r="C20" s="12" t="str">
        <x:v>Quantifies dependence on potentially circular or correlated evidence.</x:v>
      </x:c>
    </x:row>
    <x:row r="21" ht="58" customHeight="1">
      <x:c r="A21" s="17" t="str">
        <x:v>Acceptance gate</x:v>
      </x:c>
      <x:c r="B21" s="12" t="str">
        <x:v>No train/test gene overlap; no ClinVar fields in input matrix; Python fixed-point result matches FPGA</x:v>
      </x:c>
      <x:c r="C21" s="12" t="str">
        <x:v>Document accuracy, balanced accuracy, AUROC, AUPRC, MCC, sensitivity, specificity, and calibration.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3" max="3" width="25" hidden="0" customWidth="1"/>
    <x:col min="4" max="4" width="31" hidden="0" customWidth="1"/>
    <x:col min="5" max="5" width="57" hidden="0" customWidth="1"/>
    <x:col min="6" max="6" width="66" hidden="0" customWidth="1"/>
  </x:cols>
  <x:sheetData>
    <x:row r="1" ht="28" customHeight="1">
      <x:c r="A1" s="3" t="str">
        <x:v>Authoritative Sources and Access Routes</x:v>
      </x:c>
      <x:c r="B1" s="3"/>
      <x:c r="C1" s="3"/>
      <x:c r="D1" s="3"/>
      <x:c r="E1" s="3"/>
      <x:c r="F1" s="3"/>
    </x:row>
    <x:row r="2" ht="34" customHeight="1">
      <x:c r="A2" s="8" t="str">
        <x:v>Resource</x:v>
      </x:c>
      <x:c r="B2" s="8" t="str">
        <x:v>Contract role</x:v>
      </x:c>
      <x:c r="C2" s="8" t="str">
        <x:v>Maintainer</x:v>
      </x:c>
      <x:c r="D2" s="8" t="str">
        <x:v>Version policy</x:v>
      </x:c>
      <x:c r="E2" s="8" t="str">
        <x:v>URL</x:v>
      </x:c>
      <x:c r="F2" s="8" t="str">
        <x:v>Implementation note</x:v>
      </x:c>
    </x:row>
    <x:row r="3" ht="56" customHeight="1">
      <x:c r="A3" s="21" t="str">
        <x:v>ClinVar</x:v>
      </x:c>
      <x:c r="B3" s="12" t="str">
        <x:v>Training labels and review status</x:v>
      </x:c>
      <x:c r="C3" s="12" t="str">
        <x:v>NCBI</x:v>
      </x:c>
      <x:c r="D3" s="12" t="str">
        <x:v>Weekly; snapshot monthly archive</x:v>
      </x:c>
      <x:c r="E3" s="12" t="str">
        <x:v>https://www.ncbi.nlm.nih.gov/clinvar/docs/downloads/</x:v>
      </x:c>
      <x:c r="F3" s="12" t="str">
        <x:v>Use GRCh38 VCF/XML; classification and review status are labels/filters, not features.</x:v>
      </x:c>
    </x:row>
    <x:row r="4" ht="56" customHeight="1">
      <x:c r="A4" s="21" t="str">
        <x:v>gnomAD</x:v>
      </x:c>
      <x:c r="B4" s="12" t="str">
        <x:v>Population AF and gene constraint</x:v>
      </x:c>
      <x:c r="C4" s="12" t="str">
        <x:v>Broad Institute</x:v>
      </x:c>
      <x:c r="D4" s="12" t="str">
        <x:v>Freeze v4.x release</x:v>
      </x:c>
      <x:c r="E4" s="12" t="str">
        <x:v>https://gnomad.broadinstitute.org/</x:v>
      </x:c>
      <x:c r="F4" s="12" t="str">
        <x:v>Verify coverage before interpreting absence.</x:v>
      </x:c>
    </x:row>
    <x:row r="5" ht="56" customHeight="1">
      <x:c r="A5" s="21" t="str">
        <x:v>CADD</x:v>
      </x:c>
      <x:c r="B5" s="12" t="str">
        <x:v>PHRED-scaled deleteriousness</x:v>
      </x:c>
      <x:c r="C5" s="12" t="str">
        <x:v>CADD team</x:v>
      </x:c>
      <x:c r="D5" s="12" t="str">
        <x:v>Freeze model/version and genome build</x:v>
      </x:c>
      <x:c r="E5" s="12" t="str">
        <x:v>https://cadd.bihealth.org/info</x:v>
      </x:c>
      <x:c r="F5" s="12" t="str">
        <x:v>PHRED 10/20/30 correspond to top 10%/1%/0.1% of possible SNVs.</x:v>
      </x:c>
    </x:row>
    <x:row r="6" ht="56" customHeight="1">
      <x:c r="A6" s="21" t="str">
        <x:v>REVEL</x:v>
      </x:c>
      <x:c r="B6" s="12" t="str">
        <x:v>Missense ensemble score</x:v>
      </x:c>
      <x:c r="C6" s="12" t="str">
        <x:v>Ioannidis et al.</x:v>
      </x:c>
      <x:c r="D6" s="12" t="str">
        <x:v>Freeze downloaded table version</x:v>
      </x:c>
      <x:c r="E6" s="12" t="str">
        <x:v>https://sites.google.com/site/revelgenomics/</x:v>
      </x:c>
      <x:c r="F6" s="12" t="str">
        <x:v>Score 0..1; higher indicates disease-causing.</x:v>
      </x:c>
    </x:row>
    <x:row r="7" ht="56" customHeight="1">
      <x:c r="A7" s="21" t="str">
        <x:v>AlphaMissense</x:v>
      </x:c>
      <x:c r="B7" s="12" t="str">
        <x:v>Protein ML pathogenicity score</x:v>
      </x:c>
      <x:c r="C7" s="12" t="str">
        <x:v>DeepMind / EMBL-EBI</x:v>
      </x:c>
      <x:c r="D7" s="12" t="str">
        <x:v>Freeze table and license terms</x:v>
      </x:c>
      <x:c r="E7" s="12" t="str">
        <x:v>https://www.science.org/doi/10.1126/science.adg7492</x:v>
      </x:c>
      <x:c r="F7" s="12" t="str">
        <x:v>Score 0..1; calibrated using ClinVar, so temporal evaluation matters.</x:v>
      </x:c>
    </x:row>
    <x:row r="8" ht="56" customHeight="1">
      <x:c r="A8" s="21" t="str">
        <x:v>SpliceAI</x:v>
      </x:c>
      <x:c r="B8" s="12" t="str">
        <x:v>Splice delta scores</x:v>
      </x:c>
      <x:c r="C8" s="12" t="str">
        <x:v>Illumina</x:v>
      </x:c>
      <x:c r="D8" s="12" t="str">
        <x:v>Freeze model/annotation release</x:v>
      </x:c>
      <x:c r="E8" s="12" t="str">
        <x:v>https://github.com/Illumina/SpliceAI</x:v>
      </x:c>
      <x:c r="F8" s="12" t="str">
        <x:v>Use max of four delta scores; freeze masked/raw choice.</x:v>
      </x:c>
    </x:row>
    <x:row r="9" ht="56" customHeight="1">
      <x:c r="A9" s="21" t="str">
        <x:v>Ensembl VEP</x:v>
      </x:c>
      <x:c r="B9" s="12" t="str">
        <x:v>Transcript consequences, SIFT, PolyPhen</x:v>
      </x:c>
      <x:c r="C9" s="12" t="str">
        <x:v>Ensembl</x:v>
      </x:c>
      <x:c r="D9" s="12" t="str">
        <x:v>Freeze VEP/cache/MANE versions</x:v>
      </x:c>
      <x:c r="E9" s="12" t="str">
        <x:v>https://www.ensembl.org/info/docs/tools/vep/index.html</x:v>
      </x:c>
      <x:c r="F9" s="12" t="str">
        <x:v>Use MANE Select transcript where present.</x:v>
      </x:c>
    </x:row>
    <x:row r="10" ht="56" customHeight="1">
      <x:c r="A10" s="21" t="str">
        <x:v>dbNSFP</x:v>
      </x:c>
      <x:c r="B10" s="12" t="str">
        <x:v>Bulk missense annotations and predictor fields</x:v>
      </x:c>
      <x:c r="C10" s="12" t="str">
        <x:v>Liu et al.</x:v>
      </x:c>
      <x:c r="D10" s="12" t="str">
        <x:v>Freeze exact dbNSFP release</x:v>
      </x:c>
      <x:c r="E10" s="12" t="str">
        <x:v>https://www.dbnsfp.org/</x:v>
      </x:c>
      <x:c r="F10" s="12" t="str">
        <x:v>Convenient access route; confirm field-specific licenses and transcript matching.</x:v>
      </x:c>
    </x:row>
    <x:row r="11" ht="56" customHeight="1">
      <x:c r="A11" s="21" t="str">
        <x:v>UCSC Conservation</x:v>
      </x:c>
      <x:c r="B11" s="12" t="str">
        <x:v>phyloP and phastCons base scores</x:v>
      </x:c>
      <x:c r="C11" s="12" t="str">
        <x:v>UCSC / PHAST</x:v>
      </x:c>
      <x:c r="D11" s="12" t="str">
        <x:v>Freeze hg38 track revision</x:v>
      </x:c>
      <x:c r="E11" s="12" t="str">
        <x:v>https://genome.ucsc.edu/cgi-bin/hgTrackUi?db=hg38&amp;g=cons100way</x:v>
      </x:c>
      <x:c r="F11" s="12" t="str">
        <x:v>phyloP is site-specific; phastCons models conserved regions.</x:v>
      </x:c>
    </x:row>
    <x:row r="12" ht="56" customHeight="1">
      <x:c r="A12" s="21" t="str">
        <x:v>GERP++</x:v>
      </x:c>
      <x:c r="B12" s="12" t="str">
        <x:v>Rejected-substitution constraint</x:v>
      </x:c>
      <x:c r="C12" s="12" t="str">
        <x:v>Davydov et al.</x:v>
      </x:c>
      <x:c r="D12" s="12" t="str">
        <x:v>Freeze track/build</x:v>
      </x:c>
      <x:c r="E12" s="12" t="str">
        <x:v>https://pmc.ncbi.nlm.nih.gov/articles/PMC2996323/</x:v>
      </x:c>
      <x:c r="F12" s="12" t="str">
        <x:v>Positive high RS indicates stronger constraint.</x:v>
      </x:c>
    </x:row>
    <x:row r="13" ht="56" customHeight="1">
      <x:c r="A13" s="21" t="str">
        <x:v>MPC</x:v>
      </x:c>
      <x:c r="B13" s="12" t="str">
        <x:v>Regional missense deleteriousness</x:v>
      </x:c>
      <x:c r="C13" s="12" t="str">
        <x:v>Samocha et al.</x:v>
      </x:c>
      <x:c r="D13" s="12" t="str">
        <x:v>Freeze source/build</x:v>
      </x:c>
      <x:c r="E13" s="12" t="str">
        <x:v>https://github.com/broadinstitute/regional_missense_constraint</x:v>
      </x:c>
      <x:c r="F13" s="12" t="str">
        <x:v>Composite of missense badness, PolyPhen-2, and constraint.</x:v>
      </x:c>
    </x:row>
    <x:row r="14" ht="56" customHeight="1">
      <x:c r="A14" s="21" t="str">
        <x:v>InterPro/Pfam</x:v>
      </x:c>
      <x:c r="B14" s="12" t="str">
        <x:v>Protein domains</x:v>
      </x:c>
      <x:c r="C14" s="12" t="str">
        <x:v>EMBL-EBI</x:v>
      </x:c>
      <x:c r="D14" s="12" t="str">
        <x:v>Freeze InterPro release</x:v>
      </x:c>
      <x:c r="E14" s="12" t="str">
        <x:v>https://www.ebi.ac.uk/interpro/</x:v>
      </x:c>
      <x:c r="F14" s="12" t="str">
        <x:v>Map residue coordinates on the contracted transcript/protein.</x:v>
      </x:c>
    </x:row>
    <x:row r="15" ht="56" customHeight="1">
      <x:c r="A15" s="21" t="str">
        <x:v>MANE</x:v>
      </x:c>
      <x:c r="B15" s="12" t="str">
        <x:v>Transcript standard</x:v>
      </x:c>
      <x:c r="C15" s="12" t="str">
        <x:v>NCBI / EMBL-EBI</x:v>
      </x:c>
      <x:c r="D15" s="12" t="str">
        <x:v>Freeze MANE release</x:v>
      </x:c>
      <x:c r="E15" s="12" t="str">
        <x:v>https://www.ncbi.nlm.nih.gov/refseq/MANE/</x:v>
      </x:c>
      <x:c r="F15" s="12" t="str">
        <x:v>Matched RefSeq and Ensembl transcripts with identical sequence/splice structure.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24" hidden="0" customWidth="1"/>
    <x:col min="6" max="6" width="28" hidden="0" customWidth="1"/>
  </x:cols>
  <x:sheetData>
    <x:row r="1" ht="28" customHeight="1">
      <x:c r="A1" s="3" t="str">
        <x:v>Signed INT8 Encoding Examples</x:v>
      </x:c>
      <x:c r="B1" s="3"/>
      <x:c r="C1" s="3"/>
      <x:c r="D1" s="3"/>
      <x:c r="E1" s="3"/>
      <x:c r="F1" s="3"/>
    </x:row>
    <x:row r="2" ht="38" customHeight="1">
      <x:c r="A2" s="8" t="str">
        <x:v>Normalized x</x:v>
      </x:c>
      <x:c r="B2" s="8" t="str">
        <x:v>Unclipped 254*x-127</x:v>
      </x:c>
      <x:c r="C2" s="8" t="str">
        <x:v>Rounded q</x:v>
      </x:c>
      <x:c r="D2" s="8" t="str">
        <x:v>SV byte literal</x:v>
      </x:c>
      <x:c r="E2" s="8" t="str">
        <x:v>Approx. decoded x</x:v>
      </x:c>
      <x:c r="F2" s="8" t="str">
        <x:v>Meaning</x:v>
      </x:c>
    </x:row>
    <x:row r="3" ht="28" customHeight="1">
      <x:c r="A3" s="22" t="n">
        <x:v>0</x:v>
      </x:c>
      <x:c r="B3" s="23" t="n">
        <x:f>254*A3-127</x:f>
        <x:v>-127</x:v>
      </x:c>
      <x:c r="C3" s="26" t="n">
        <x:f>ROUND(MAX(-127,MIN(127,B3)),0)</x:f>
        <x:v>-127</x:v>
      </x:c>
      <x:c r="D3" s="27" t="str">
        <x:v>8'h81</x:v>
      </x:c>
      <x:c r="E3" s="24" t="n">
        <x:f>(C3+127)/254</x:f>
        <x:v>0</x:v>
      </x:c>
      <x:c r="F3" s="12" t="str">
        <x:v>Lowest evidence</x:v>
      </x:c>
    </x:row>
    <x:row r="4" ht="28" customHeight="1">
      <x:c r="A4" s="22" t="n">
        <x:v>0.1</x:v>
      </x:c>
      <x:c r="B4" s="23" t="n">
        <x:f>254*A4-127</x:f>
        <x:v>-101.6</x:v>
      </x:c>
      <x:c r="C4" s="26" t="n">
        <x:f>ROUND(MAX(-127,MIN(127,B4)),0)</x:f>
        <x:v>-102</x:v>
      </x:c>
      <x:c r="D4" s="27" t="str">
        <x:v>8'h9A</x:v>
      </x:c>
      <x:c r="E4" s="24" t="n">
        <x:f>(C4+127)/254</x:f>
        <x:v>0.0984251968503937</x:v>
      </x:c>
      <x:c r="F4" s="12" t="str">
        <x:v>Low</x:v>
      </x:c>
    </x:row>
    <x:row r="5" ht="28" customHeight="1">
      <x:c r="A5" s="22" t="n">
        <x:v>0.25</x:v>
      </x:c>
      <x:c r="B5" s="23" t="n">
        <x:f>254*A5-127</x:f>
        <x:v>-63.5</x:v>
      </x:c>
      <x:c r="C5" s="26" t="n">
        <x:f>ROUND(MAX(-127,MIN(127,B5)),0)</x:f>
        <x:v>-63</x:v>
      </x:c>
      <x:c r="D5" s="27" t="str">
        <x:v>8'hC1</x:v>
      </x:c>
      <x:c r="E5" s="24" t="n">
        <x:f>(C5+127)/254</x:f>
        <x:v>0.25196850393700787</x:v>
      </x:c>
      <x:c r="F5" s="12" t="str">
        <x:v>Low-moderate</x:v>
      </x:c>
    </x:row>
    <x:row r="6" ht="28" customHeight="1">
      <x:c r="A6" s="22" t="n">
        <x:v>0.5</x:v>
      </x:c>
      <x:c r="B6" s="23" t="n">
        <x:f>254*A6-127</x:f>
        <x:v>0</x:v>
      </x:c>
      <x:c r="C6" s="26" t="n">
        <x:f>ROUND(MAX(-127,MIN(127,B6)),0)</x:f>
        <x:v>0</x:v>
      </x:c>
      <x:c r="D6" s="27" t="str">
        <x:v>8'h00</x:v>
      </x:c>
      <x:c r="E6" s="24" t="n">
        <x:f>(C6+127)/254</x:f>
        <x:v>0.5</x:v>
      </x:c>
      <x:c r="F6" s="12" t="str">
        <x:v>Neutral midpoint</x:v>
      </x:c>
    </x:row>
    <x:row r="7" ht="28" customHeight="1">
      <x:c r="A7" s="22" t="n">
        <x:v>0.75</x:v>
      </x:c>
      <x:c r="B7" s="23" t="n">
        <x:f>254*A7-127</x:f>
        <x:v>63.5</x:v>
      </x:c>
      <x:c r="C7" s="26" t="n">
        <x:f>ROUND(MAX(-127,MIN(127,B7)),0)</x:f>
        <x:v>64</x:v>
      </x:c>
      <x:c r="D7" s="27" t="str">
        <x:v>8'h40</x:v>
      </x:c>
      <x:c r="E7" s="24" t="n">
        <x:f>(C7+127)/254</x:f>
        <x:v>0.7519685039370079</x:v>
      </x:c>
      <x:c r="F7" s="12" t="str">
        <x:v>Moderate-high</x:v>
      </x:c>
    </x:row>
    <x:row r="8" ht="28" customHeight="1">
      <x:c r="A8" s="22" t="n">
        <x:v>0.9</x:v>
      </x:c>
      <x:c r="B8" s="23" t="n">
        <x:f>254*A8-127</x:f>
        <x:v>101.6</x:v>
      </x:c>
      <x:c r="C8" s="26" t="n">
        <x:f>ROUND(MAX(-127,MIN(127,B8)),0)</x:f>
        <x:v>102</x:v>
      </x:c>
      <x:c r="D8" s="27" t="str">
        <x:v>8'h66</x:v>
      </x:c>
      <x:c r="E8" s="24" t="n">
        <x:f>(C8+127)/254</x:f>
        <x:v>0.9015748031496063</x:v>
      </x:c>
      <x:c r="F8" s="12" t="str">
        <x:v>High</x:v>
      </x:c>
    </x:row>
    <x:row r="9" ht="28" customHeight="1">
      <x:c r="A9" s="22" t="n">
        <x:v>1</x:v>
      </x:c>
      <x:c r="B9" s="23" t="n">
        <x:f>254*A9-127</x:f>
        <x:v>127</x:v>
      </x:c>
      <x:c r="C9" s="26" t="n">
        <x:f>ROUND(MAX(-127,MIN(127,B9)),0)</x:f>
        <x:v>127</x:v>
      </x:c>
      <x:c r="D9" s="27" t="str">
        <x:v>8'h7F</x:v>
      </x:c>
      <x:c r="E9" s="24" t="n">
        <x:f>(C9+127)/254</x:f>
        <x:v>1</x:v>
      </x:c>
      <x:c r="F9" s="12" t="str">
        <x:v>Highest evidence</x:v>
      </x:c>
    </x:row>
  </x:sheetData>
  <x:mergeCells>
    <x:mergeCell ref="A1:F1"/>
  </x:mergeCells>
  <x:pageMargins left="0.7" right="0.7" top="0.75" bottom="0.75" header="0.3" footer="0.3"/>
</x:worksheet>
</file>